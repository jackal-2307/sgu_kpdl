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47761A2-1222-4B1D-BE4F-27E667602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-sale" sheetId="1" r:id="rId1"/>
    <sheet name="linear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14" i="7" l="1"/>
  <c r="C13" i="7"/>
  <c r="C12" i="7"/>
  <c r="E4" i="7" l="1"/>
  <c r="F4" i="7" s="1"/>
  <c r="E7" i="7"/>
  <c r="F7" i="7" s="1"/>
  <c r="E3" i="7"/>
  <c r="F3" i="7" s="1"/>
  <c r="E5" i="7"/>
  <c r="F5" i="7" s="1"/>
  <c r="E6" i="7"/>
  <c r="F6" i="7" s="1"/>
  <c r="E8" i="7"/>
  <c r="F8" i="7" s="1"/>
  <c r="E9" i="7"/>
  <c r="F9" i="7" s="1"/>
  <c r="E2" i="7"/>
  <c r="F2" i="7" s="1"/>
  <c r="E11" i="7" s="1"/>
</calcChain>
</file>

<file path=xl/sharedStrings.xml><?xml version="1.0" encoding="utf-8"?>
<sst xmlns="http://schemas.openxmlformats.org/spreadsheetml/2006/main" count="15" uniqueCount="10">
  <si>
    <t>Temperature (F)</t>
  </si>
  <si>
    <t>Ice Cream Sale (dollar in thousand)</t>
  </si>
  <si>
    <t>Tourists</t>
  </si>
  <si>
    <t>Sunny Days</t>
  </si>
  <si>
    <t>Temperature</t>
  </si>
  <si>
    <t>Y-intercept</t>
  </si>
  <si>
    <t xml:space="preserve">Temperature </t>
  </si>
  <si>
    <t>Error</t>
  </si>
  <si>
    <t>Sum of Errors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</si>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</sst>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topLeftCell="A4" workbookViewId="0">
      <selection activeCell="D28" sqref="D28"/>
    </sheetView>
  </sheetViews>
  <sheetFormatPr defaultRowHeight="14.4" x14ac:dyDescent="0.3"/>
  <cols>
    <col min="1" max="1" width="15.5546875" customWidth="1"/>
    <col min="2" max="2" width="15.88671875" customWidth="1"/>
    <col min="3" max="3" width="14.6640625" customWidth="1"/>
    <col min="4" max="4" width="32.44140625" bestFit="1" customWidth="1"/>
    <col min="5" max="5" width="32.44140625" customWidth="1"/>
  </cols>
  <sheetData>
    <row r="1" spans="1:4" x14ac:dyDescent="0.3">
      <c r="A1" s="2" t="s">
        <v>0</v>
      </c>
      <c r="B1" s="2" t="s">
        <v>2</v>
      </c>
      <c r="C1" s="2" t="s">
        <v>3</v>
      </c>
      <c r="D1" s="2" t="s">
        <v>1</v>
      </c>
    </row>
    <row r="2" spans="1:4" x14ac:dyDescent="0.3">
      <c r="A2" s="2">
        <v>91</v>
      </c>
      <c r="B2" s="2">
        <v>998</v>
      </c>
      <c r="C2" s="2">
        <v>4</v>
      </c>
      <c r="D2" s="2">
        <v>89.8</v>
      </c>
    </row>
    <row r="3" spans="1:4" x14ac:dyDescent="0.3">
      <c r="A3" s="2">
        <v>87</v>
      </c>
      <c r="B3" s="2">
        <v>1256</v>
      </c>
      <c r="C3" s="2">
        <v>7</v>
      </c>
      <c r="D3" s="2">
        <v>90.2</v>
      </c>
    </row>
    <row r="4" spans="1:4" x14ac:dyDescent="0.3">
      <c r="A4" s="2">
        <v>86</v>
      </c>
      <c r="B4" s="2">
        <v>791</v>
      </c>
      <c r="C4" s="2">
        <v>6</v>
      </c>
      <c r="D4" s="2">
        <v>81.099999999999994</v>
      </c>
    </row>
    <row r="5" spans="1:4" x14ac:dyDescent="0.3">
      <c r="A5" s="2">
        <v>88</v>
      </c>
      <c r="B5" s="2">
        <v>705</v>
      </c>
      <c r="C5" s="2">
        <v>5</v>
      </c>
      <c r="D5" s="2">
        <v>83</v>
      </c>
    </row>
    <row r="6" spans="1:4" x14ac:dyDescent="0.3">
      <c r="A6" s="2">
        <v>92.8</v>
      </c>
      <c r="B6" s="2">
        <v>1089</v>
      </c>
      <c r="C6" s="2">
        <v>3</v>
      </c>
      <c r="D6" s="2">
        <v>90.9</v>
      </c>
    </row>
    <row r="7" spans="1:4" x14ac:dyDescent="0.3">
      <c r="A7" s="2">
        <v>95.2</v>
      </c>
      <c r="B7" s="2">
        <v>1135</v>
      </c>
      <c r="C7" s="2">
        <v>6</v>
      </c>
      <c r="D7" s="2">
        <v>119</v>
      </c>
    </row>
    <row r="8" spans="1:4" x14ac:dyDescent="0.3">
      <c r="A8" s="2">
        <v>93.3</v>
      </c>
      <c r="B8" s="2">
        <v>1076</v>
      </c>
      <c r="C8" s="2">
        <v>4</v>
      </c>
      <c r="D8" s="2">
        <v>94.9</v>
      </c>
    </row>
    <row r="9" spans="1:4" x14ac:dyDescent="0.3">
      <c r="A9" s="2">
        <v>97.7</v>
      </c>
      <c r="B9" s="2">
        <v>1198</v>
      </c>
      <c r="C9" s="2">
        <v>7</v>
      </c>
      <c r="D9" s="2">
        <v>132.4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D12" sqref="D12"/>
    </sheetView>
  </sheetViews>
  <sheetFormatPr defaultRowHeight="14.4" x14ac:dyDescent="0.3"/>
  <cols>
    <col min="1" max="1" width="15.44140625" customWidth="1"/>
    <col min="2" max="2" width="10.88671875" customWidth="1"/>
    <col min="3" max="3" width="11.6640625" customWidth="1"/>
    <col min="4" max="4" width="25.109375" customWidth="1"/>
    <col min="5" max="5" width="14" customWidth="1"/>
    <col min="6" max="6" width="13" customWidth="1"/>
  </cols>
  <sheetData>
    <row r="1" spans="1:6" ht="36" x14ac:dyDescent="0.35">
      <c r="A1" s="3" t="s">
        <v>6</v>
      </c>
      <c r="B1" s="3" t="s">
        <v>2</v>
      </c>
      <c r="C1" s="3" t="s">
        <v>3</v>
      </c>
      <c r="D1" s="3" t="s">
        <v>1</v>
      </c>
      <c r="E1" s="5" t="s">
        <v>9</v>
      </c>
      <c r="F1" s="5" t="s">
        <v>7</v>
      </c>
    </row>
    <row r="2" spans="1:6" ht="18" x14ac:dyDescent="0.35">
      <c r="A2" s="4">
        <v>91</v>
      </c>
      <c r="B2" s="4">
        <v>998</v>
      </c>
      <c r="C2" s="4">
        <v>4</v>
      </c>
      <c r="D2" s="4">
        <v>89.8</v>
      </c>
      <c r="E2" s="1">
        <f>A2*C$13+B2*C$12+C2*C$11+C$14</f>
        <v>88.770599892675023</v>
      </c>
      <c r="F2" s="1">
        <f>POWER(D2-E2,2)</f>
        <v>1.0596645809606691</v>
      </c>
    </row>
    <row r="3" spans="1:6" ht="18" x14ac:dyDescent="0.35">
      <c r="A3" s="4">
        <v>87</v>
      </c>
      <c r="B3" s="4">
        <v>1256</v>
      </c>
      <c r="C3" s="4">
        <v>7</v>
      </c>
      <c r="D3" s="4">
        <v>90.2</v>
      </c>
      <c r="E3" s="1">
        <f t="shared" ref="E3:E9" si="0">A3*C$13+B3*C$12+C3*C$11+C$14</f>
        <v>90.390725606528406</v>
      </c>
      <c r="F3" s="1">
        <f t="shared" ref="F3:F9" si="1">POWER(D3-E3,2)</f>
        <v>3.6376256985627235E-2</v>
      </c>
    </row>
    <row r="4" spans="1:6" ht="18" x14ac:dyDescent="0.35">
      <c r="A4" s="4">
        <v>86</v>
      </c>
      <c r="B4" s="4">
        <v>791</v>
      </c>
      <c r="C4" s="4">
        <v>6</v>
      </c>
      <c r="D4" s="4">
        <v>81.099999999999994</v>
      </c>
      <c r="E4" s="1">
        <f t="shared" si="0"/>
        <v>81.08535834704594</v>
      </c>
      <c r="F4" s="1">
        <f t="shared" si="1"/>
        <v>2.1437800122697307E-4</v>
      </c>
    </row>
    <row r="5" spans="1:6" ht="18" x14ac:dyDescent="0.35">
      <c r="A5" s="4">
        <v>88</v>
      </c>
      <c r="B5" s="4">
        <v>705</v>
      </c>
      <c r="C5" s="4">
        <v>5</v>
      </c>
      <c r="D5" s="4">
        <v>83</v>
      </c>
      <c r="E5" s="1">
        <f t="shared" si="0"/>
        <v>83.195592678492687</v>
      </c>
      <c r="F5" s="1">
        <f t="shared" si="1"/>
        <v>3.8256495879943765E-2</v>
      </c>
    </row>
    <row r="6" spans="1:6" ht="18" x14ac:dyDescent="0.35">
      <c r="A6" s="4">
        <v>92.8</v>
      </c>
      <c r="B6" s="4">
        <v>1089</v>
      </c>
      <c r="C6" s="4">
        <v>3</v>
      </c>
      <c r="D6" s="4">
        <v>90.9</v>
      </c>
      <c r="E6" s="1">
        <f t="shared" si="0"/>
        <v>89.84727235480392</v>
      </c>
      <c r="F6" s="1">
        <f t="shared" si="1"/>
        <v>1.1082354949600961</v>
      </c>
    </row>
    <row r="7" spans="1:6" ht="18" x14ac:dyDescent="0.35">
      <c r="A7" s="4">
        <v>95.2</v>
      </c>
      <c r="B7" s="4">
        <v>1135</v>
      </c>
      <c r="C7" s="4">
        <v>6</v>
      </c>
      <c r="D7" s="4">
        <v>119</v>
      </c>
      <c r="E7" s="1">
        <f t="shared" si="0"/>
        <v>117.19568579748471</v>
      </c>
      <c r="F7" s="1">
        <f t="shared" si="1"/>
        <v>3.2555497413983727</v>
      </c>
    </row>
    <row r="8" spans="1:6" ht="18" x14ac:dyDescent="0.35">
      <c r="A8" s="4">
        <v>93.3</v>
      </c>
      <c r="B8" s="4">
        <v>1076</v>
      </c>
      <c r="C8" s="4">
        <v>4</v>
      </c>
      <c r="D8" s="4">
        <v>94.9</v>
      </c>
      <c r="E8" s="1">
        <f t="shared" si="0"/>
        <v>97.808960467081249</v>
      </c>
      <c r="F8" s="1">
        <f t="shared" si="1"/>
        <v>8.4620509990415265</v>
      </c>
    </row>
    <row r="9" spans="1:6" ht="18" x14ac:dyDescent="0.35">
      <c r="A9" s="4">
        <v>97.7</v>
      </c>
      <c r="B9" s="4">
        <v>1198</v>
      </c>
      <c r="C9" s="4">
        <v>7</v>
      </c>
      <c r="D9" s="4">
        <v>132.4</v>
      </c>
      <c r="E9" s="1">
        <f t="shared" si="0"/>
        <v>133.00580485588836</v>
      </c>
      <c r="F9" s="1">
        <f t="shared" si="1"/>
        <v>0.36699952341790609</v>
      </c>
    </row>
    <row r="10" spans="1:6" ht="18" x14ac:dyDescent="0.35">
      <c r="A10" s="1"/>
      <c r="B10" s="1"/>
      <c r="C10" s="1"/>
      <c r="D10" s="1"/>
    </row>
    <row r="11" spans="1:6" ht="18" x14ac:dyDescent="0.35">
      <c r="A11" s="1" t="s">
        <v>3</v>
      </c>
      <c r="B11" s="1">
        <v>1</v>
      </c>
      <c r="C11" s="1">
        <f>INDEX(LINEST(D$2:D$9,A$2:C$9, TRUE, TRUE), 1, B11)</f>
        <v>5.9564655285595709</v>
      </c>
      <c r="D11" s="1" t="s">
        <v>8</v>
      </c>
      <c r="E11" s="1">
        <f>SUM(F2:F9)</f>
        <v>14.327347470645368</v>
      </c>
    </row>
    <row r="12" spans="1:6" ht="18" x14ac:dyDescent="0.35">
      <c r="A12" s="1" t="s">
        <v>2</v>
      </c>
      <c r="B12" s="1">
        <v>2</v>
      </c>
      <c r="C12" s="1">
        <f t="shared" ref="C12:C14" si="2">INDEX(LINEST(D$2:D$9,A$2:C$9, TRUE, TRUE), 1, B12)</f>
        <v>-1.3473389745675504E-3</v>
      </c>
      <c r="D12" s="1"/>
    </row>
    <row r="13" spans="1:6" ht="18" x14ac:dyDescent="0.35">
      <c r="A13" s="1" t="s">
        <v>4</v>
      </c>
      <c r="B13" s="1">
        <v>3</v>
      </c>
      <c r="C13" s="1">
        <f t="shared" si="2"/>
        <v>3.9754143540967339</v>
      </c>
      <c r="D13" s="1"/>
    </row>
    <row r="14" spans="1:6" ht="18" x14ac:dyDescent="0.35">
      <c r="A14" s="1" t="s">
        <v>5</v>
      </c>
      <c r="B14" s="1">
        <v>4</v>
      </c>
      <c r="C14" s="1">
        <f t="shared" si="2"/>
        <v>-295.47332414774763</v>
      </c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temp-sale</vt:lpstr>
      <vt:lpstr>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2025-11-24T13:15:36Z</dcterms:modified>
</cp:coreProperties>
</file>